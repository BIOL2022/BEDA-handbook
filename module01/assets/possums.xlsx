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Metadata" sheetId="1" state="visible" r:id="rId3"/>
    <sheet name="AllPoss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<sst xmlns="http://schemas.openxmlformats.org/spreadsheetml/2006/main" count="131" uniqueCount="49">
  <si>
    <t xml:space="preserve">This "metadata" TAB is excellent/essential for good data management: to explain your data so you or anyone else can understand it</t>
  </si>
  <si>
    <t xml:space="preserve">PossID</t>
  </si>
  <si>
    <t xml:space="preserve">individual microchip number (20 individual possums in total)</t>
  </si>
  <si>
    <t xml:space="preserve">Sex</t>
  </si>
  <si>
    <t xml:space="preserve">sex of individual (Male, Female, Unknown)</t>
  </si>
  <si>
    <t xml:space="preserve">BW</t>
  </si>
  <si>
    <t xml:space="preserve">Most recent body weight recorded at time of Arena test for personality (kg)</t>
  </si>
  <si>
    <t xml:space="preserve">Age</t>
  </si>
  <si>
    <t xml:space="preserve">Age based on bodyweight (Adult: &gt;= 1.8kg; Juvenile: &lt;1.8kg)</t>
  </si>
  <si>
    <t xml:space="preserve">BC</t>
  </si>
  <si>
    <t xml:space="preserve">Body condition taken in field (Ordinal values 1-5)</t>
  </si>
  <si>
    <t xml:space="preserve">Albumin</t>
  </si>
  <si>
    <t xml:space="preserve">Health index-Measure for liver function (g/L)</t>
  </si>
  <si>
    <t xml:space="preserve">Creatinine</t>
  </si>
  <si>
    <t xml:space="preserve">Health index-Measure for kidney function (mmol/L)</t>
  </si>
  <si>
    <t xml:space="preserve">Protein</t>
  </si>
  <si>
    <t xml:space="preserve">Health index-Measure for body condition (g/L)</t>
  </si>
  <si>
    <t xml:space="preserve">Phosphorus</t>
  </si>
  <si>
    <t xml:space="preserve">Health index-Measure for electrolytes (mmol/L)</t>
  </si>
  <si>
    <t xml:space="preserve">WiggleBLUP</t>
  </si>
  <si>
    <t xml:space="preserve">Personality Trait-BLUP calculated for wiggle</t>
  </si>
  <si>
    <t xml:space="preserve">BoldBLUP</t>
  </si>
  <si>
    <t xml:space="preserve">Personality Trait-BLUP calculated for boldness</t>
  </si>
  <si>
    <t xml:space="preserve">ExpBLUP</t>
  </si>
  <si>
    <t xml:space="preserve">Personality Trait-BLUP calculated for exploration</t>
  </si>
  <si>
    <t xml:space="preserve">VigilBLUP</t>
  </si>
  <si>
    <t xml:space="preserve">Personality Trait-BLUP calculated for vigilance</t>
  </si>
  <si>
    <t xml:space="preserve">AmoveTBLUP</t>
  </si>
  <si>
    <t xml:space="preserve">Personality Trait-BLUP calculated for activity1</t>
  </si>
  <si>
    <t xml:space="preserve">AactiveTBLUP</t>
  </si>
  <si>
    <t xml:space="preserve">Personality Trait-BLUP calculated for activity2</t>
  </si>
  <si>
    <t xml:space="preserve">Cohort</t>
  </si>
  <si>
    <t xml:space="preserve">OLD = possum completed a puzzle trial in the 2022 (and current 2024 study); NEW = possum first trapped and only completed  a puzzle trial in the current 2024 study</t>
  </si>
  <si>
    <t xml:space="preserve">Solved</t>
  </si>
  <si>
    <t xml:space="preserve">Did the possum solve its first trial in current study? (1/0)</t>
  </si>
  <si>
    <t xml:space="preserve">TTS</t>
  </si>
  <si>
    <t xml:space="preserve">Time it took the possum to solve the puzzle (in seconds)in Angelica's (i.e., the current) study</t>
  </si>
  <si>
    <t xml:space="preserve">Eimeria Count</t>
  </si>
  <si>
    <t xml:space="preserve">Eimeria parasite count in scat (taken closest to puzzle trial date)</t>
  </si>
  <si>
    <t xml:space="preserve">0447107</t>
  </si>
  <si>
    <t xml:space="preserve">F</t>
  </si>
  <si>
    <t xml:space="preserve">NA</t>
  </si>
  <si>
    <t xml:space="preserve">OLD</t>
  </si>
  <si>
    <t xml:space="preserve">0447356</t>
  </si>
  <si>
    <t xml:space="preserve">M</t>
  </si>
  <si>
    <t xml:space="preserve">0447525</t>
  </si>
  <si>
    <t xml:space="preserve">0447841</t>
  </si>
  <si>
    <t xml:space="preserve">0447947</t>
  </si>
  <si>
    <t xml:space="preserve">NEW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</si>
</sst>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FF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3.45"/>
    <col collapsed="false" customWidth="true" hidden="false" outlineLevel="0" max="2" min="2" style="0" width="53.54"/>
  </cols>
  <sheetData>
    <row r="1" customFormat="false" ht="42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  <c r="B2" s="0" t="s">
        <v>2</v>
      </c>
    </row>
    <row r="3" customFormat="false" ht="14.25" hidden="false" customHeight="false" outlineLevel="0" collapsed="false">
      <c r="A3" s="2" t="s">
        <v>3</v>
      </c>
      <c r="B3" s="0" t="s">
        <v>4</v>
      </c>
    </row>
    <row r="4" customFormat="false" ht="14.25" hidden="false" customHeight="false" outlineLevel="0" collapsed="false">
      <c r="A4" s="2" t="s">
        <v>5</v>
      </c>
      <c r="B4" s="0" t="s">
        <v>6</v>
      </c>
    </row>
    <row r="5" customFormat="false" ht="14.25" hidden="false" customHeight="false" outlineLevel="0" collapsed="false">
      <c r="A5" s="2" t="s">
        <v>7</v>
      </c>
      <c r="B5" s="0" t="s">
        <v>8</v>
      </c>
    </row>
    <row r="6" customFormat="false" ht="14.25" hidden="false" customHeight="false" outlineLevel="0" collapsed="false">
      <c r="A6" s="2" t="s">
        <v>9</v>
      </c>
      <c r="B6" s="0" t="s">
        <v>10</v>
      </c>
    </row>
    <row r="7" customFormat="false" ht="14.25" hidden="false" customHeight="false" outlineLevel="0" collapsed="false">
      <c r="A7" s="2" t="s">
        <v>11</v>
      </c>
      <c r="B7" s="0" t="s">
        <v>12</v>
      </c>
    </row>
    <row r="8" customFormat="false" ht="14.25" hidden="false" customHeight="false" outlineLevel="0" collapsed="false">
      <c r="A8" s="2" t="s">
        <v>13</v>
      </c>
      <c r="B8" s="0" t="s">
        <v>14</v>
      </c>
    </row>
    <row r="9" customFormat="false" ht="14.25" hidden="false" customHeight="false" outlineLevel="0" collapsed="false">
      <c r="A9" s="2" t="s">
        <v>15</v>
      </c>
      <c r="B9" s="0" t="s">
        <v>16</v>
      </c>
    </row>
    <row r="10" customFormat="false" ht="14.25" hidden="false" customHeight="false" outlineLevel="0" collapsed="false">
      <c r="A10" s="2" t="s">
        <v>17</v>
      </c>
      <c r="B10" s="0" t="s">
        <v>18</v>
      </c>
    </row>
    <row r="11" customFormat="false" ht="14.25" hidden="false" customHeight="false" outlineLevel="0" collapsed="false">
      <c r="A11" s="2" t="s">
        <v>19</v>
      </c>
      <c r="B11" s="0" t="s">
        <v>20</v>
      </c>
    </row>
    <row r="12" customFormat="false" ht="14.25" hidden="false" customHeight="false" outlineLevel="0" collapsed="false">
      <c r="A12" s="2" t="s">
        <v>21</v>
      </c>
      <c r="B12" s="0" t="s">
        <v>22</v>
      </c>
    </row>
    <row r="13" customFormat="false" ht="14.25" hidden="false" customHeight="false" outlineLevel="0" collapsed="false">
      <c r="A13" s="2" t="s">
        <v>23</v>
      </c>
      <c r="B13" s="0" t="s">
        <v>24</v>
      </c>
    </row>
    <row r="14" customFormat="false" ht="14.25" hidden="false" customHeight="false" outlineLevel="0" collapsed="false">
      <c r="A14" s="2" t="s">
        <v>25</v>
      </c>
      <c r="B14" s="0" t="s">
        <v>26</v>
      </c>
    </row>
    <row r="15" customFormat="false" ht="14.25" hidden="false" customHeight="false" outlineLevel="0" collapsed="false">
      <c r="A15" s="2" t="s">
        <v>27</v>
      </c>
      <c r="B15" s="0" t="s">
        <v>28</v>
      </c>
    </row>
    <row r="16" customFormat="false" ht="14.25" hidden="false" customHeight="false" outlineLevel="0" collapsed="false">
      <c r="A16" s="2" t="s">
        <v>29</v>
      </c>
      <c r="B16" s="0" t="s">
        <v>30</v>
      </c>
    </row>
    <row r="17" customFormat="false" ht="14.25" hidden="false" customHeight="false" outlineLevel="0" collapsed="false">
      <c r="A17" s="2" t="s">
        <v>31</v>
      </c>
      <c r="B17" s="0" t="s">
        <v>32</v>
      </c>
    </row>
    <row r="18" customFormat="false" ht="14.25" hidden="false" customHeight="false" outlineLevel="0" collapsed="false">
      <c r="A18" s="2" t="s">
        <v>33</v>
      </c>
      <c r="B18" s="0" t="s">
        <v>34</v>
      </c>
    </row>
    <row r="19" customFormat="false" ht="14.25" hidden="false" customHeight="false" outlineLevel="0" collapsed="false">
      <c r="A19" s="2" t="s">
        <v>35</v>
      </c>
      <c r="B19" s="0" t="s">
        <v>36</v>
      </c>
    </row>
    <row r="20" customFormat="false" ht="14.25" hidden="false" customHeight="false" outlineLevel="0" collapsed="false">
      <c r="A20" s="2" t="s">
        <v>37</v>
      </c>
      <c r="B20" s="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2" width="8.82"/>
    <col collapsed="false" customWidth="true" hidden="false" outlineLevel="0" max="2" min="2" style="2" width="5.82"/>
    <col collapsed="false" customWidth="true" hidden="false" outlineLevel="0" max="3" min="3" style="3" width="6.45"/>
    <col collapsed="false" customWidth="true" hidden="false" outlineLevel="0" max="4" min="4" style="0" width="8.54"/>
    <col collapsed="false" customWidth="true" hidden="false" outlineLevel="0" max="5" min="5" style="0" width="8.27"/>
    <col collapsed="false" customWidth="true" hidden="false" outlineLevel="0" max="6" min="6" style="0" width="8.82"/>
    <col collapsed="false" customWidth="true" hidden="false" outlineLevel="0" max="7" min="7" style="0" width="11.73"/>
    <col collapsed="false" customWidth="true" hidden="false" outlineLevel="0" max="8" min="8" style="0" width="9.54"/>
    <col collapsed="false" customWidth="true" hidden="false" outlineLevel="0" max="9" min="9" style="0" width="11.18"/>
    <col collapsed="false" customWidth="true" hidden="false" outlineLevel="0" max="10" min="10" style="2" width="12.54"/>
    <col collapsed="false" customWidth="true" hidden="false" outlineLevel="0" max="11" min="11" style="0" width="9.82"/>
    <col collapsed="false" customWidth="true" hidden="false" outlineLevel="0" max="12" min="12" style="0" width="14.45"/>
    <col collapsed="false" customWidth="true" hidden="false" outlineLevel="0" max="13" min="13" style="0" width="11.45"/>
    <col collapsed="false" customWidth="true" hidden="false" outlineLevel="0" max="14" min="14" style="0" width="14.18"/>
    <col collapsed="false" customWidth="true" hidden="false" outlineLevel="0" max="15" min="15" style="0" width="13.27"/>
    <col collapsed="false" customWidth="true" hidden="false" outlineLevel="0" max="16" min="16" style="0" width="9.45"/>
    <col collapsed="false" customWidth="true" hidden="false" outlineLevel="0" max="19" min="19" style="0" width="13.45"/>
  </cols>
  <sheetData>
    <row r="1" customFormat="false" ht="14.25" hidden="false" customHeight="false" outlineLevel="0" collapsed="false">
      <c r="A1" s="2" t="s">
        <v>1</v>
      </c>
      <c r="B1" s="2" t="s">
        <v>3</v>
      </c>
      <c r="C1" s="4" t="s">
        <v>5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29</v>
      </c>
      <c r="P1" s="2" t="s">
        <v>31</v>
      </c>
      <c r="Q1" s="2" t="s">
        <v>33</v>
      </c>
      <c r="R1" s="2" t="s">
        <v>35</v>
      </c>
      <c r="S1" s="2" t="s">
        <v>37</v>
      </c>
    </row>
    <row r="2" customFormat="false" ht="14.25" hidden="false" customHeight="false" outlineLevel="0" collapsed="false">
      <c r="A2" s="2" t="s">
        <v>39</v>
      </c>
      <c r="B2" s="2" t="s">
        <v>40</v>
      </c>
      <c r="C2" s="4" t="n">
        <v>2.15</v>
      </c>
      <c r="D2" s="2" t="str">
        <f aca="false">IF(C2&gt;=1.8,"ADULT","JUVENILE")</f>
        <v>ADULT</v>
      </c>
      <c r="E2" s="2" t="n">
        <v>3</v>
      </c>
      <c r="F2" s="2" t="s">
        <v>41</v>
      </c>
      <c r="G2" s="2" t="s">
        <v>41</v>
      </c>
      <c r="H2" s="2" t="s">
        <v>41</v>
      </c>
      <c r="I2" s="2" t="s">
        <v>41</v>
      </c>
      <c r="J2" s="2" t="n">
        <v>0.267620005425524</v>
      </c>
      <c r="K2" s="2" t="n">
        <v>-0.518377687691752</v>
      </c>
      <c r="L2" s="2" t="n">
        <v>0.314998468452642</v>
      </c>
      <c r="M2" s="2" t="n">
        <v>0.310330009087583</v>
      </c>
      <c r="N2" s="2" t="n">
        <v>0.380248895161267</v>
      </c>
      <c r="O2" s="2" t="n">
        <v>0.302494718080729</v>
      </c>
      <c r="P2" s="2" t="s">
        <v>42</v>
      </c>
      <c r="Q2" s="2" t="n">
        <v>0</v>
      </c>
      <c r="R2" s="0" t="s">
        <v>41</v>
      </c>
      <c r="S2" s="2" t="n">
        <v>3</v>
      </c>
    </row>
    <row r="3" customFormat="false" ht="14.25" hidden="false" customHeight="false" outlineLevel="0" collapsed="false">
      <c r="A3" s="2" t="s">
        <v>43</v>
      </c>
      <c r="B3" s="2" t="s">
        <v>44</v>
      </c>
      <c r="C3" s="4" t="n">
        <v>2.55</v>
      </c>
      <c r="D3" s="2" t="str">
        <f aca="false">IF(C3&gt;=1.8,"ADULT","JUVENILE")</f>
        <v>ADULT</v>
      </c>
      <c r="E3" s="2" t="n">
        <v>2</v>
      </c>
      <c r="F3" s="0" t="n">
        <v>36.151</v>
      </c>
      <c r="G3" s="0" t="n">
        <v>81.818</v>
      </c>
      <c r="H3" s="0" t="n">
        <v>59.013</v>
      </c>
      <c r="I3" s="0" t="n">
        <v>1.329</v>
      </c>
      <c r="J3" s="2" t="n">
        <v>-0.0283671285593864</v>
      </c>
      <c r="K3" s="2" t="n">
        <v>0.0381830367010415</v>
      </c>
      <c r="L3" s="2" t="n">
        <v>0.245114901435956</v>
      </c>
      <c r="M3" s="2" t="n">
        <v>0.278342324046138</v>
      </c>
      <c r="N3" s="2" t="n">
        <v>0.454278769423491</v>
      </c>
      <c r="O3" s="2" t="n">
        <v>0.360639458619619</v>
      </c>
      <c r="P3" s="2" t="s">
        <v>42</v>
      </c>
      <c r="Q3" s="2" t="n">
        <v>1</v>
      </c>
      <c r="R3" s="2" t="n">
        <v>50</v>
      </c>
      <c r="S3" s="2" t="n">
        <v>10</v>
      </c>
    </row>
    <row r="4" customFormat="false" ht="14.25" hidden="false" customHeight="false" outlineLevel="0" collapsed="false">
      <c r="A4" s="2" t="s">
        <v>45</v>
      </c>
      <c r="B4" s="2" t="s">
        <v>40</v>
      </c>
      <c r="C4" s="4" t="n">
        <v>2.95</v>
      </c>
      <c r="D4" s="2" t="str">
        <f aca="false">IF(C4&gt;=1.8,"ADULT","JUVENILE")</f>
        <v>ADULT</v>
      </c>
      <c r="E4" s="2" t="n">
        <v>4</v>
      </c>
      <c r="F4" s="0" t="n">
        <v>34.389</v>
      </c>
      <c r="G4" s="0" t="n">
        <v>107.684</v>
      </c>
      <c r="H4" s="0" t="n">
        <v>64.19</v>
      </c>
      <c r="I4" s="0" t="n">
        <v>1.594</v>
      </c>
      <c r="J4" s="2" t="n">
        <v>-0.208260984731152</v>
      </c>
      <c r="K4" s="2" t="n">
        <v>-0.0370278720006873</v>
      </c>
      <c r="L4" s="2" t="n">
        <v>0.219879168902153</v>
      </c>
      <c r="M4" s="2" t="n">
        <v>0.390299221691195</v>
      </c>
      <c r="N4" s="2" t="n">
        <v>0.451060079238177</v>
      </c>
      <c r="O4" s="2" t="n">
        <v>0.208568598748676</v>
      </c>
      <c r="P4" s="2" t="s">
        <v>42</v>
      </c>
      <c r="Q4" s="2" t="n">
        <v>1</v>
      </c>
      <c r="R4" s="2" t="n">
        <v>14</v>
      </c>
      <c r="S4" s="2" t="n">
        <v>1</v>
      </c>
    </row>
    <row r="5" customFormat="false" ht="14.25" hidden="false" customHeight="false" outlineLevel="0" collapsed="false">
      <c r="A5" s="2" t="s">
        <v>46</v>
      </c>
      <c r="B5" s="2" t="s">
        <v>40</v>
      </c>
      <c r="C5" s="4" t="n">
        <v>2.7</v>
      </c>
      <c r="D5" s="2" t="str">
        <f aca="false">IF(C5&gt;=1.8,"ADULT","JUVENILE")</f>
        <v>ADULT</v>
      </c>
      <c r="E5" s="2" t="n">
        <v>3</v>
      </c>
      <c r="F5" s="0" t="n">
        <v>32.111</v>
      </c>
      <c r="G5" s="0" t="n">
        <v>96.216</v>
      </c>
      <c r="H5" s="0" t="n">
        <v>55.115</v>
      </c>
      <c r="I5" s="0" t="n">
        <v>1.284</v>
      </c>
      <c r="J5" s="2" t="n">
        <v>-0.272846596689335</v>
      </c>
      <c r="K5" s="2" t="n">
        <v>0.910629577641096</v>
      </c>
      <c r="L5" s="2" t="n">
        <v>0.262585793190128</v>
      </c>
      <c r="M5" s="2" t="n">
        <v>0.454274591774085</v>
      </c>
      <c r="N5" s="2" t="n">
        <v>0.38990496571721</v>
      </c>
      <c r="O5" s="2" t="n">
        <v>-0.321443074625052</v>
      </c>
      <c r="P5" s="2" t="s">
        <v>42</v>
      </c>
      <c r="Q5" s="2" t="n">
        <v>1</v>
      </c>
      <c r="R5" s="2" t="n">
        <v>45</v>
      </c>
      <c r="S5" s="2" t="n">
        <v>4</v>
      </c>
    </row>
    <row r="6" customFormat="false" ht="14.25" hidden="false" customHeight="false" outlineLevel="0" collapsed="false">
      <c r="A6" s="2" t="s">
        <v>47</v>
      </c>
      <c r="B6" s="2" t="s">
        <v>44</v>
      </c>
      <c r="C6" s="4" t="n">
        <v>2.2</v>
      </c>
      <c r="D6" s="2" t="str">
        <f aca="false">IF(C6&gt;=1.8,"ADULT","JUVENILE")</f>
        <v>ADULT</v>
      </c>
      <c r="E6" s="2" t="n">
        <v>3</v>
      </c>
      <c r="F6" s="0" t="n">
        <v>33.761</v>
      </c>
      <c r="G6" s="0" t="n">
        <v>59.899</v>
      </c>
      <c r="H6" s="0" t="n">
        <v>58.831</v>
      </c>
      <c r="I6" s="0" t="n">
        <v>0.861</v>
      </c>
      <c r="J6" s="2" t="n">
        <v>0.162429385562183</v>
      </c>
      <c r="K6" s="2" t="n">
        <v>-0.518377687691752</v>
      </c>
      <c r="L6" s="2" t="n">
        <v>-0.224657965731766</v>
      </c>
      <c r="M6" s="2" t="n">
        <v>0.99166770047036</v>
      </c>
      <c r="N6" s="2" t="n">
        <v>0.28690687978716</v>
      </c>
      <c r="O6" s="2" t="n">
        <v>-0.0217740272323115</v>
      </c>
      <c r="P6" s="2" t="s">
        <v>48</v>
      </c>
      <c r="Q6" s="2" t="n">
        <v>1</v>
      </c>
      <c r="R6" s="2" t="n">
        <v>48</v>
      </c>
      <c r="S6" s="2" t="n">
        <v>51</v>
      </c>
    </row>
    <row r="7" customFormat="false" ht="14.25" hidden="false" customHeight="false" outlineLevel="0" collapsed="false">
      <c r="A7" s="2" t="n">
        <v>1156317</v>
      </c>
      <c r="B7" s="2" t="s">
        <v>40</v>
      </c>
      <c r="C7" s="4" t="n">
        <v>1.85</v>
      </c>
      <c r="D7" s="2" t="str">
        <f aca="false">IF(C7&gt;=1.8,"ADULT","JUVENILE")</f>
        <v>ADULT</v>
      </c>
      <c r="E7" s="2" t="n">
        <v>1</v>
      </c>
      <c r="F7" s="0" t="n">
        <v>30.412</v>
      </c>
      <c r="G7" s="0" t="n">
        <v>46.882</v>
      </c>
      <c r="H7" s="0" t="n">
        <v>64.363</v>
      </c>
      <c r="I7" s="0" t="n">
        <v>1.514</v>
      </c>
      <c r="J7" s="2" t="n">
        <v>-0.142845037032328</v>
      </c>
      <c r="K7" s="2" t="n">
        <v>-0.518377687691752</v>
      </c>
      <c r="L7" s="2" t="n">
        <v>0.256762162605404</v>
      </c>
      <c r="M7" s="2" t="n">
        <v>-0.20467172007968</v>
      </c>
      <c r="N7" s="2" t="n">
        <v>0.454278769423491</v>
      </c>
      <c r="O7" s="2" t="n">
        <v>1.06284901743544</v>
      </c>
      <c r="P7" s="2" t="s">
        <v>42</v>
      </c>
      <c r="Q7" s="2" t="n">
        <v>1</v>
      </c>
      <c r="R7" s="2" t="n">
        <v>12</v>
      </c>
      <c r="S7" s="2" t="n">
        <v>91</v>
      </c>
    </row>
    <row r="8" customFormat="false" ht="14.25" hidden="false" customHeight="false" outlineLevel="0" collapsed="false">
      <c r="A8" s="2" t="n">
        <v>40455646</v>
      </c>
      <c r="B8" s="2" t="s">
        <v>44</v>
      </c>
      <c r="C8" s="4" t="n">
        <v>2.55</v>
      </c>
      <c r="D8" s="2" t="str">
        <f aca="false">IF(C8&gt;=1.8,"ADULT","JUVENILE")</f>
        <v>ADULT</v>
      </c>
      <c r="E8" s="2" t="n">
        <v>2.5</v>
      </c>
      <c r="F8" s="0" t="n">
        <v>36.962</v>
      </c>
      <c r="G8" s="0" t="n">
        <v>95.096</v>
      </c>
      <c r="H8" s="0" t="n">
        <v>64.529</v>
      </c>
      <c r="I8" s="0" t="n">
        <v>0.862</v>
      </c>
      <c r="J8" s="2" t="n">
        <v>0.0697567929888493</v>
      </c>
      <c r="K8" s="2" t="n">
        <v>-0.518377687691752</v>
      </c>
      <c r="L8" s="2" t="n">
        <v>-0.141185927350724</v>
      </c>
      <c r="M8" s="2" t="n">
        <v>0.83492804376728</v>
      </c>
      <c r="N8" s="2" t="n">
        <v>0.454278769423491</v>
      </c>
      <c r="O8" s="2" t="n">
        <v>0.371821139492482</v>
      </c>
      <c r="P8" s="2" t="s">
        <v>48</v>
      </c>
      <c r="Q8" s="2" t="n">
        <v>1</v>
      </c>
      <c r="R8" s="2" t="n">
        <v>18</v>
      </c>
      <c r="S8" s="2" t="n">
        <v>98</v>
      </c>
    </row>
    <row r="9" customFormat="false" ht="14.25" hidden="false" customHeight="false" outlineLevel="0" collapsed="false">
      <c r="A9" s="2" t="n">
        <v>40455984</v>
      </c>
      <c r="B9" s="2" t="s">
        <v>44</v>
      </c>
      <c r="C9" s="4" t="n">
        <v>2.6</v>
      </c>
      <c r="D9" s="2" t="str">
        <f aca="false">IF(C9&gt;=1.8,"ADULT","JUVENILE")</f>
        <v>ADULT</v>
      </c>
      <c r="E9" s="2" t="n">
        <v>3</v>
      </c>
      <c r="F9" s="0" t="n">
        <v>30.676</v>
      </c>
      <c r="G9" s="0" t="n">
        <v>99.228</v>
      </c>
      <c r="H9" s="0" t="n">
        <v>60.45</v>
      </c>
      <c r="I9" s="0" t="n">
        <v>1.698</v>
      </c>
      <c r="J9" s="2" t="n">
        <v>0.140320234868423</v>
      </c>
      <c r="K9" s="2" t="n">
        <v>-0.352945334401792</v>
      </c>
      <c r="L9" s="2" t="n">
        <v>0.244504812058449</v>
      </c>
      <c r="M9" s="2" t="n">
        <v>-0.0231331124642527</v>
      </c>
      <c r="N9" s="2" t="n">
        <v>0.310766866737453</v>
      </c>
      <c r="O9" s="2" t="n">
        <v>0.684545953818653</v>
      </c>
      <c r="P9" s="2" t="s">
        <v>48</v>
      </c>
      <c r="Q9" s="2" t="n">
        <v>1</v>
      </c>
      <c r="R9" s="2" t="n">
        <v>272</v>
      </c>
      <c r="S9" s="2" t="n">
        <v>10</v>
      </c>
    </row>
    <row r="10" customFormat="false" ht="14.25" hidden="false" customHeight="false" outlineLevel="0" collapsed="false">
      <c r="A10" s="2" t="n">
        <v>40458386</v>
      </c>
      <c r="B10" s="2" t="s">
        <v>40</v>
      </c>
      <c r="C10" s="4" t="n">
        <v>2</v>
      </c>
      <c r="D10" s="2" t="str">
        <f aca="false">IF(C10&gt;=1.8,"ADULT","JUVENILE")</f>
        <v>ADULT</v>
      </c>
      <c r="E10" s="2" t="n">
        <v>2</v>
      </c>
      <c r="F10" s="0" t="n">
        <v>38.417</v>
      </c>
      <c r="G10" s="2" t="s">
        <v>41</v>
      </c>
      <c r="H10" s="0" t="n">
        <v>59.744</v>
      </c>
      <c r="I10" s="0" t="n">
        <v>1.701</v>
      </c>
      <c r="J10" s="2" t="n">
        <v>0.200588688386497</v>
      </c>
      <c r="K10" s="2" t="n">
        <v>-0.518377687691752</v>
      </c>
      <c r="L10" s="2" t="n">
        <v>-0.203304653587779</v>
      </c>
      <c r="M10" s="2" t="n">
        <v>0.153590352384503</v>
      </c>
      <c r="N10" s="2" t="n">
        <v>-0.524203046911982</v>
      </c>
      <c r="O10" s="2" t="n">
        <v>0.190677909352094</v>
      </c>
      <c r="P10" s="2" t="s">
        <v>48</v>
      </c>
      <c r="Q10" s="2" t="n">
        <v>1</v>
      </c>
      <c r="R10" s="2" t="n">
        <v>90</v>
      </c>
      <c r="S10" s="2" t="n">
        <v>1</v>
      </c>
    </row>
    <row r="11" customFormat="false" ht="14.25" hidden="false" customHeight="false" outlineLevel="0" collapsed="false">
      <c r="A11" s="2" t="n">
        <v>40458927</v>
      </c>
      <c r="B11" s="2" t="s">
        <v>44</v>
      </c>
      <c r="C11" s="4" t="n">
        <v>2.25</v>
      </c>
      <c r="D11" s="2" t="str">
        <f aca="false">IF(C11&gt;=1.8,"ADULT","JUVENILE")</f>
        <v>ADULT</v>
      </c>
      <c r="E11" s="2" t="n">
        <v>3</v>
      </c>
      <c r="F11" s="2" t="s">
        <v>41</v>
      </c>
      <c r="G11" s="2" t="s">
        <v>41</v>
      </c>
      <c r="H11" s="2" t="s">
        <v>41</v>
      </c>
      <c r="I11" s="2" t="s">
        <v>41</v>
      </c>
      <c r="J11" s="2" t="n">
        <v>0.208300500315357</v>
      </c>
      <c r="K11" s="2" t="n">
        <v>-0.518377687691752</v>
      </c>
      <c r="L11" s="2" t="n">
        <v>-0.461485609510535</v>
      </c>
      <c r="M11" s="2" t="n">
        <v>0.553436415402564</v>
      </c>
      <c r="N11" s="2" t="n">
        <v>0.0326303551473495</v>
      </c>
      <c r="O11" s="2" t="n">
        <v>-0.252116653213299</v>
      </c>
      <c r="P11" s="2" t="s">
        <v>48</v>
      </c>
      <c r="Q11" s="2" t="n">
        <v>0</v>
      </c>
      <c r="R11" s="0" t="s">
        <v>41</v>
      </c>
      <c r="S11" s="2" t="n">
        <v>1</v>
      </c>
    </row>
    <row r="12" customFormat="false" ht="14.25" hidden="false" customHeight="false" outlineLevel="0" collapsed="false">
      <c r="A12" s="2" t="n">
        <v>40459185</v>
      </c>
      <c r="B12" s="2" t="s">
        <v>40</v>
      </c>
      <c r="C12" s="4" t="n">
        <v>2.3</v>
      </c>
      <c r="D12" s="2" t="str">
        <f aca="false">IF(C12&gt;=1.8,"ADULT","JUVENILE")</f>
        <v>ADULT</v>
      </c>
      <c r="E12" s="2" t="n">
        <v>3</v>
      </c>
      <c r="F12" s="2" t="s">
        <v>41</v>
      </c>
      <c r="G12" s="2" t="s">
        <v>41</v>
      </c>
      <c r="H12" s="2" t="s">
        <v>41</v>
      </c>
      <c r="I12" s="2" t="s">
        <v>41</v>
      </c>
      <c r="J12" s="2" t="n">
        <v>0.264324477363848</v>
      </c>
      <c r="K12" s="2" t="n">
        <v>-0.518377687691752</v>
      </c>
      <c r="L12" s="2" t="n">
        <v>-0.321718475477163</v>
      </c>
      <c r="M12" s="2" t="n">
        <v>0.902102182354314</v>
      </c>
      <c r="N12" s="2" t="n">
        <v>0.364155444234697</v>
      </c>
      <c r="O12" s="2" t="n">
        <v>0.103460798543759</v>
      </c>
      <c r="P12" s="2" t="s">
        <v>48</v>
      </c>
      <c r="Q12" s="2" t="n">
        <v>1</v>
      </c>
      <c r="R12" s="2" t="n">
        <v>59</v>
      </c>
      <c r="S12" s="2" t="n">
        <v>70</v>
      </c>
    </row>
    <row r="13" customFormat="false" ht="14.25" hidden="false" customHeight="false" outlineLevel="0" collapsed="false">
      <c r="A13" s="2" t="n">
        <v>40459241</v>
      </c>
      <c r="B13" s="2" t="s">
        <v>44</v>
      </c>
      <c r="C13" s="4" t="n">
        <v>3.05</v>
      </c>
      <c r="D13" s="2" t="str">
        <f aca="false">IF(C13&gt;=1.8,"ADULT","JUVENILE")</f>
        <v>ADULT</v>
      </c>
      <c r="E13" s="2" t="n">
        <v>4</v>
      </c>
      <c r="F13" s="0" t="n">
        <v>35.492</v>
      </c>
      <c r="G13" s="0" t="n">
        <v>70.549</v>
      </c>
      <c r="H13" s="0" t="n">
        <v>64.88</v>
      </c>
      <c r="I13" s="0" t="n">
        <v>0.938</v>
      </c>
      <c r="J13" s="2" t="n">
        <v>0.140320234868423</v>
      </c>
      <c r="K13" s="2" t="n">
        <v>-0.208296327820998</v>
      </c>
      <c r="L13" s="2" t="n">
        <v>-0.220395720997399</v>
      </c>
      <c r="M13" s="2" t="n">
        <v>0.621207968022188</v>
      </c>
      <c r="N13" s="2" t="n">
        <v>0.277541970791238</v>
      </c>
      <c r="O13" s="2" t="n">
        <v>-0.0528662700537513</v>
      </c>
      <c r="P13" s="2" t="s">
        <v>48</v>
      </c>
      <c r="Q13" s="2" t="n">
        <v>0</v>
      </c>
      <c r="R13" s="0" t="s">
        <v>41</v>
      </c>
      <c r="S13" s="2" t="n">
        <v>0</v>
      </c>
    </row>
    <row r="14" customFormat="false" ht="14.25" hidden="false" customHeight="false" outlineLevel="0" collapsed="false">
      <c r="A14" s="2" t="n">
        <v>40459393</v>
      </c>
      <c r="B14" s="2" t="s">
        <v>44</v>
      </c>
      <c r="C14" s="4" t="n">
        <v>1.65</v>
      </c>
      <c r="D14" s="2" t="str">
        <f aca="false">IF(C14&gt;=1.8,"ADULT","JUVENILE")</f>
        <v>JUVENILE</v>
      </c>
      <c r="E14" s="2" t="n">
        <v>2.5</v>
      </c>
      <c r="F14" s="0" t="n">
        <v>32.668</v>
      </c>
      <c r="G14" s="0" t="n">
        <v>83.591</v>
      </c>
      <c r="H14" s="0" t="n">
        <v>50.504</v>
      </c>
      <c r="I14" s="0" t="n">
        <v>1.61</v>
      </c>
      <c r="J14" s="2" t="n">
        <v>0.132219231990752</v>
      </c>
      <c r="K14" s="2" t="n">
        <v>1.3527075348634</v>
      </c>
      <c r="L14" s="2" t="n">
        <v>-0.0252820257770687</v>
      </c>
      <c r="M14" s="2" t="n">
        <v>-0.211261895088031</v>
      </c>
      <c r="N14" s="2" t="n">
        <v>0.310766866737453</v>
      </c>
      <c r="O14" s="2" t="n">
        <v>0.0220271589332896</v>
      </c>
      <c r="P14" s="2" t="s">
        <v>48</v>
      </c>
      <c r="Q14" s="2" t="n">
        <v>1</v>
      </c>
      <c r="R14" s="2" t="n">
        <v>183</v>
      </c>
      <c r="S14" s="2" t="n">
        <v>1</v>
      </c>
    </row>
    <row r="15" customFormat="false" ht="14.25" hidden="false" customHeight="false" outlineLevel="0" collapsed="false">
      <c r="A15" s="2" t="n">
        <v>6135876</v>
      </c>
      <c r="B15" s="2" t="s">
        <v>44</v>
      </c>
      <c r="C15" s="4" t="n">
        <v>3.05</v>
      </c>
      <c r="D15" s="2" t="str">
        <f aca="false">IF(C15&gt;=1.8,"ADULT","JUVENILE")</f>
        <v>ADULT</v>
      </c>
      <c r="E15" s="2" t="n">
        <v>3</v>
      </c>
      <c r="F15" s="2" t="s">
        <v>41</v>
      </c>
      <c r="G15" s="2" t="s">
        <v>41</v>
      </c>
      <c r="H15" s="2" t="s">
        <v>41</v>
      </c>
      <c r="I15" s="2" t="s">
        <v>41</v>
      </c>
      <c r="J15" s="2" t="n">
        <v>0.132219231990752</v>
      </c>
      <c r="K15" s="2" t="n">
        <v>2.41949395839676</v>
      </c>
      <c r="L15" s="2" t="n">
        <v>-0.454050393051374</v>
      </c>
      <c r="M15" s="2" t="n">
        <v>-0.201855455956842</v>
      </c>
      <c r="N15" s="2" t="n">
        <v>0.310766866737453</v>
      </c>
      <c r="O15" s="2" t="n">
        <v>-0.554076140967027</v>
      </c>
      <c r="P15" s="2" t="s">
        <v>42</v>
      </c>
      <c r="Q15" s="2" t="n">
        <v>1</v>
      </c>
      <c r="R15" s="2" t="n">
        <v>38</v>
      </c>
      <c r="S15" s="0" t="s">
        <v>41</v>
      </c>
    </row>
    <row r="16" customFormat="false" ht="14.25" hidden="false" customHeight="false" outlineLevel="0" collapsed="false">
      <c r="A16" s="2" t="n">
        <v>6137410</v>
      </c>
      <c r="B16" s="2" t="s">
        <v>40</v>
      </c>
      <c r="C16" s="4" t="n">
        <v>2.6</v>
      </c>
      <c r="D16" s="2" t="str">
        <f aca="false">IF(C16&gt;=1.8,"ADULT","JUVENILE")</f>
        <v>ADULT</v>
      </c>
      <c r="E16" s="2" t="n">
        <v>3</v>
      </c>
      <c r="F16" s="0" t="n">
        <v>31.828</v>
      </c>
      <c r="G16" s="0" t="n">
        <v>60.566</v>
      </c>
      <c r="H16" s="0" t="n">
        <v>58.202</v>
      </c>
      <c r="I16" s="0" t="n">
        <v>0.772</v>
      </c>
      <c r="J16" s="2" t="n">
        <v>-0.0174644706095824</v>
      </c>
      <c r="K16" s="2" t="n">
        <v>-0.518377687691752</v>
      </c>
      <c r="L16" s="2" t="n">
        <v>-0.24018764729103</v>
      </c>
      <c r="M16" s="2" t="n">
        <v>0.818934201246557</v>
      </c>
      <c r="N16" s="2" t="n">
        <v>0.454278769423491</v>
      </c>
      <c r="O16" s="2" t="n">
        <v>0.166078211431795</v>
      </c>
      <c r="P16" s="2" t="s">
        <v>42</v>
      </c>
      <c r="Q16" s="2" t="n">
        <v>1</v>
      </c>
      <c r="R16" s="2" t="n">
        <v>5</v>
      </c>
      <c r="S16" s="2" t="n">
        <v>1</v>
      </c>
    </row>
    <row r="17" customFormat="false" ht="14.25" hidden="false" customHeight="false" outlineLevel="0" collapsed="false">
      <c r="A17" s="2" t="n">
        <v>6138024</v>
      </c>
      <c r="B17" s="2" t="s">
        <v>44</v>
      </c>
      <c r="C17" s="4" t="n">
        <v>3.4</v>
      </c>
      <c r="D17" s="2" t="str">
        <f aca="false">IF(C17&gt;=1.8,"ADULT","JUVENILE")</f>
        <v>ADULT</v>
      </c>
      <c r="E17" s="2" t="n">
        <v>3</v>
      </c>
      <c r="F17" s="0" t="n">
        <v>37.83</v>
      </c>
      <c r="G17" s="0" t="n">
        <v>60.69</v>
      </c>
      <c r="H17" s="0" t="n">
        <v>65.313</v>
      </c>
      <c r="I17" s="0" t="n">
        <v>0.958</v>
      </c>
      <c r="J17" s="2" t="n">
        <v>-0.437622999773133</v>
      </c>
      <c r="K17" s="2" t="n">
        <v>-0.650030301433452</v>
      </c>
      <c r="L17" s="2" t="n">
        <v>0.470288204489337</v>
      </c>
      <c r="M17" s="2" t="n">
        <v>0.346085967694997</v>
      </c>
      <c r="N17" s="2" t="n">
        <v>0.533233516982869</v>
      </c>
      <c r="O17" s="2" t="n">
        <v>0.876982546711549</v>
      </c>
      <c r="P17" s="2" t="s">
        <v>42</v>
      </c>
      <c r="Q17" s="2" t="n">
        <v>0</v>
      </c>
      <c r="R17" s="0" t="s">
        <v>41</v>
      </c>
      <c r="S17" s="2" t="n">
        <v>1</v>
      </c>
    </row>
    <row r="18" customFormat="false" ht="14.25" hidden="false" customHeight="false" outlineLevel="0" collapsed="false">
      <c r="A18" s="2" t="n">
        <v>6138055</v>
      </c>
      <c r="B18" s="2" t="s">
        <v>44</v>
      </c>
      <c r="C18" s="4" t="n">
        <v>2.75</v>
      </c>
      <c r="D18" s="2" t="str">
        <f aca="false">IF(C18&gt;=1.8,"ADULT","JUVENILE")</f>
        <v>ADULT</v>
      </c>
      <c r="E18" s="2" t="n">
        <v>3</v>
      </c>
      <c r="F18" s="2" t="s">
        <v>41</v>
      </c>
      <c r="G18" s="2" t="s">
        <v>41</v>
      </c>
      <c r="H18" s="2" t="s">
        <v>41</v>
      </c>
      <c r="I18" s="2" t="s">
        <v>41</v>
      </c>
      <c r="J18" s="2" t="n">
        <v>0.200588688386497</v>
      </c>
      <c r="K18" s="2" t="n">
        <v>-0.518377687691752</v>
      </c>
      <c r="L18" s="2" t="n">
        <v>-0.430426246392008</v>
      </c>
      <c r="M18" s="2" t="n">
        <v>0.595020405956443</v>
      </c>
      <c r="N18" s="2" t="n">
        <v>-0.366487227831593</v>
      </c>
      <c r="O18" s="2" t="n">
        <v>-0.287898032006462</v>
      </c>
      <c r="P18" s="2" t="s">
        <v>42</v>
      </c>
      <c r="Q18" s="2" t="n">
        <v>0</v>
      </c>
      <c r="R18" s="0" t="s">
        <v>41</v>
      </c>
      <c r="S18" s="2" t="n">
        <v>10</v>
      </c>
    </row>
    <row r="19" customFormat="false" ht="14.25" hidden="false" customHeight="false" outlineLevel="0" collapsed="false">
      <c r="A19" s="2" t="n">
        <v>6138303</v>
      </c>
      <c r="B19" s="2" t="s">
        <v>40</v>
      </c>
      <c r="C19" s="4" t="n">
        <v>2.4</v>
      </c>
      <c r="D19" s="2" t="str">
        <f aca="false">IF(C19&gt;=1.8,"ADULT","JUVENILE")</f>
        <v>ADULT</v>
      </c>
      <c r="E19" s="2" t="n">
        <v>4</v>
      </c>
      <c r="F19" s="0" t="n">
        <v>33.028</v>
      </c>
      <c r="G19" s="0" t="n">
        <v>67.022</v>
      </c>
      <c r="H19" s="0" t="n">
        <v>56.536</v>
      </c>
      <c r="I19" s="0" t="n">
        <v>0.619</v>
      </c>
      <c r="J19" s="2" t="n">
        <v>-0.236505067669833</v>
      </c>
      <c r="K19" s="2" t="n">
        <v>1.17762830353223</v>
      </c>
      <c r="L19" s="2" t="n">
        <v>-0.420720195417468</v>
      </c>
      <c r="M19" s="2" t="n">
        <v>0.112006361830624</v>
      </c>
      <c r="N19" s="2" t="n">
        <v>0.399561036273152</v>
      </c>
      <c r="O19" s="2" t="n">
        <v>-0.205153593547272</v>
      </c>
      <c r="P19" s="2" t="s">
        <v>48</v>
      </c>
      <c r="Q19" s="2" t="n">
        <v>1</v>
      </c>
      <c r="R19" s="2" t="n">
        <v>8</v>
      </c>
      <c r="S19" s="2" t="n">
        <v>5</v>
      </c>
    </row>
    <row r="20" customFormat="false" ht="14.25" hidden="false" customHeight="false" outlineLevel="0" collapsed="false">
      <c r="A20" s="2" t="n">
        <v>6138321</v>
      </c>
      <c r="B20" s="2" t="s">
        <v>40</v>
      </c>
      <c r="C20" s="4" t="n">
        <v>2.65</v>
      </c>
      <c r="D20" s="2" t="str">
        <f aca="false">IF(C20&gt;=1.8,"ADULT","JUVENILE")</f>
        <v>ADULT</v>
      </c>
      <c r="E20" s="2" t="n">
        <v>2</v>
      </c>
      <c r="F20" s="0" t="n">
        <v>31.06</v>
      </c>
      <c r="G20" s="0" t="n">
        <v>101.039</v>
      </c>
      <c r="H20" s="0" t="n">
        <v>61.153</v>
      </c>
      <c r="I20" s="0" t="n">
        <v>1.482</v>
      </c>
      <c r="J20" s="2" t="n">
        <v>-0.305234923403459</v>
      </c>
      <c r="K20" s="2" t="n">
        <v>-0.352945334401792</v>
      </c>
      <c r="L20" s="2" t="n">
        <v>0.357718931507283</v>
      </c>
      <c r="M20" s="2" t="n">
        <v>-0.0795717472513862</v>
      </c>
      <c r="N20" s="2" t="n">
        <v>0.310766866737453</v>
      </c>
      <c r="O20" s="2" t="n">
        <v>0.451224117359025</v>
      </c>
      <c r="P20" s="2" t="s">
        <v>42</v>
      </c>
      <c r="Q20" s="2" t="n">
        <v>1</v>
      </c>
      <c r="R20" s="2" t="n">
        <v>81</v>
      </c>
      <c r="S20" s="2" t="n">
        <v>7</v>
      </c>
    </row>
    <row r="21" customFormat="false" ht="14.25" hidden="false" customHeight="false" outlineLevel="0" collapsed="false">
      <c r="A21" s="2" t="n">
        <v>6138714</v>
      </c>
      <c r="B21" s="2" t="s">
        <v>44</v>
      </c>
      <c r="C21" s="4" t="n">
        <v>2.6</v>
      </c>
      <c r="D21" s="2" t="str">
        <f aca="false">IF(C21&gt;=1.8,"ADULT","JUVENILE")</f>
        <v>ADULT</v>
      </c>
      <c r="E21" s="2" t="n">
        <v>3</v>
      </c>
      <c r="F21" s="0" t="n">
        <v>36.95</v>
      </c>
      <c r="G21" s="0" t="n">
        <v>54.982</v>
      </c>
      <c r="H21" s="0" t="n">
        <v>61.009</v>
      </c>
      <c r="I21" s="0" t="n">
        <v>1.161</v>
      </c>
      <c r="J21" s="2" t="n">
        <v>0.135798882958486</v>
      </c>
      <c r="K21" s="2" t="n">
        <v>-0.518377687691752</v>
      </c>
      <c r="L21" s="2" t="n">
        <v>0.412058978198039</v>
      </c>
      <c r="M21" s="2" t="n">
        <v>0.348715231137317</v>
      </c>
      <c r="N21" s="2" t="n">
        <v>0.38990496571721</v>
      </c>
      <c r="O21" s="2" t="n">
        <v>0.358403122445046</v>
      </c>
      <c r="P21" s="2" t="s">
        <v>48</v>
      </c>
      <c r="Q21" s="2" t="n">
        <v>0</v>
      </c>
      <c r="R21" s="0" t="s">
        <v>41</v>
      </c>
      <c r="S21" s="2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2024-06-11T05:08:18Z</dcterms:created>
  <dc:creator>Angelica Geisler-Edge</dc:creator>
  <dc:description/>
  <dc:language>en-AU</dc:language>
  <cp:lastModifiedBy>Clare McArthur</cp:lastModifiedBy>
  <dcterms:modified xsi:type="dcterms:W3CDTF">2026-07-29T11:34:04Z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